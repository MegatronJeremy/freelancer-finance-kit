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ate Calculator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5">
    <font>
      <sz val="11"/>
      <name val="Calibri"/>
    </font>
    <font>
      <b/>
      <sz val="16"/>
      <color rgb="FF1F4E78"/>
      <name val="Calibri"/>
    </font>
    <font>
      <i/>
      <sz val="11"/>
      <color rgb="FF7F7F7F"/>
      <name val="Calibri"/>
    </font>
    <font>
      <b/>
      <sz val="11"/>
      <name val="Calibri"/>
    </font>
    <font>
      <b/>
      <sz val="11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vertical="top" wrapText="1"/>
    </xf>
    <xf numFmtId="164" fontId="3" fillId="2" borderId="0" xfId="0" applyNumberFormat="1" applyFont="1" applyFill="1"/>
    <xf numFmtId="9" fontId="3" fillId="2" borderId="0" xfId="0" applyNumberFormat="1" applyFont="1" applyFill="1"/>
    <xf numFmtId="0" fontId="3" fillId="2" borderId="0" xfId="0" applyFont="1" applyFill="1"/>
    <xf numFmtId="0" fontId="3" fillId="3" borderId="0" xfId="0" applyFont="1" applyFill="1"/>
    <xf numFmtId="165" fontId="3" fillId="3" borderId="0" xfId="0" applyNumberFormat="1" applyFont="1" applyFill="1"/>
    <xf numFmtId="4" fontId="3" fillId="3" borderId="0" xfId="0" applyNumberFormat="1" applyFont="1" applyFill="1"/>
    <xf numFmtId="0" fontId="4" fillId="4" borderId="0" xfId="0" applyFont="1" applyFill="1"/>
    <xf numFmtId="165" fontId="4" fillId="4" borderId="0" xfId="0" applyNumberFormat="1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BF8F00"/>
  </sheetPr>
  <sheetViews>
    <sheetView workbookViewId="0" tabSelected="1"/>
  </sheetViews>
  <sheetFormatPr defaultRowHeight="15"/>
  <cols>
    <col min="1" max="1" width="68" customWidth="1"/>
    <col min="2" max="2" width="16" customWidth="1"/>
    <col min="3" max="3" width="60" customWidth="1"/>
  </cols>
  <sheetData>
    <row r="1">
      <c r="A1" s="1" t="inlineStr">
        <is>
          <t xml:space="preserve">Free Freelance Hourly Rate Calculator</t>
        </is>
      </c>
    </row>
    <row r="2">
      <c r="A2" s="2" t="inlineStr">
        <is>
          <t xml:space="preserve">Edit the yellow cells. Sample numbers shown.</t>
        </is>
      </c>
    </row>
    <row r="3">
      <c r="A3" s="3" t="inlineStr">
        <is>
          <t xml:space="preserve">INPUT: Desired annual take-home pay</t>
        </is>
      </c>
      <c r="B3" s="4">
        <v>60000</v>
      </c>
      <c r="C3" s="2" t="inlineStr">
        <is>
          <t xml:space="preserve">What you want to keep after expenses and tax</t>
        </is>
      </c>
    </row>
    <row r="4">
      <c r="A4" s="3" t="inlineStr">
        <is>
          <t xml:space="preserve">INPUT: Business expenses per year (software, gear, insurance)</t>
        </is>
      </c>
      <c r="B4" s="4">
        <v>6000</v>
      </c>
    </row>
    <row r="5">
      <c r="A5" s="3" t="inlineStr">
        <is>
          <t xml:space="preserve">INPUT: Tax set-aside % (check your local rules)</t>
        </is>
      </c>
      <c r="B5" s="5">
        <v>0.25</v>
      </c>
      <c r="C5" s="2" t="inlineStr">
        <is>
          <t xml:space="preserve">Planning number, not tax advice</t>
        </is>
      </c>
    </row>
    <row r="6">
      <c r="A6" s="3" t="inlineStr">
        <is>
          <t xml:space="preserve">INPUT: Weeks off per year (holidays, sick, vacation)</t>
        </is>
      </c>
      <c r="B6" s="6">
        <v>5</v>
      </c>
    </row>
    <row r="7">
      <c r="A7" s="3" t="inlineStr">
        <is>
          <t xml:space="preserve">INPUT: Share of work time that is billable (0.6 = 60%)</t>
        </is>
      </c>
      <c r="B7" s="5">
        <v>0.6</v>
      </c>
      <c r="C7" s="2" t="inlineStr">
        <is>
          <t xml:space="preserve">Admin, sales and learning are not billable</t>
        </is>
      </c>
    </row>
    <row r="8">
      <c r="A8" s="3" t="inlineStr">
        <is>
          <t xml:space="preserve">INPUT: Work hours per week</t>
        </is>
      </c>
      <c r="B8" s="6">
        <v>40</v>
      </c>
    </row>
    <row r="9"/>
    <row r="10">
      <c r="A10" s="7" t="inlineStr">
        <is>
          <t xml:space="preserve">Pre-tax revenue needed</t>
        </is>
      </c>
      <c r="B10" s="8">
        <f>IFERROR((B3+B4)/(1-B5),"Check inputs")</f>
        <v>88000</v>
      </c>
    </row>
    <row r="11">
      <c r="A11" s="7" t="inlineStr">
        <is>
          <t xml:space="preserve">Working weeks per year</t>
        </is>
      </c>
      <c r="B11" s="7">
        <f>52-B6</f>
        <v>47</v>
      </c>
    </row>
    <row r="12">
      <c r="A12" s="7" t="inlineStr">
        <is>
          <t xml:space="preserve">Billable hours per year</t>
        </is>
      </c>
      <c r="B12" s="9">
        <f>B11*B8*B7</f>
        <v>1128</v>
      </c>
    </row>
    <row r="13">
      <c r="A13" s="7" t="inlineStr">
        <is>
          <t xml:space="preserve">Minimum hourly rate (break-even)</t>
        </is>
      </c>
      <c r="B13" s="8">
        <f>IF(AND(ISNUMBER(B10),B12&gt;0),B10/B12,"Check inputs")</f>
        <v>78.0141843971631</v>
      </c>
    </row>
    <row r="14">
      <c r="A14" s="10" t="inlineStr">
        <is>
          <t xml:space="preserve">Suggested rate (+15% buffer)</t>
        </is>
      </c>
      <c r="B14" s="11">
        <f>IF(ISNUMBER(B13),B13*1.15,"Check inputs")</f>
        <v>89.7163120567376</v>
      </c>
    </row>
    <row r="15">
      <c r="A15" s="7" t="inlineStr">
        <is>
          <t xml:space="preserve">Day rate (8 hours)</t>
        </is>
      </c>
      <c r="B15" s="8">
        <f>IF(ISNUMBER(B14),B14*8,"Check inputs")</f>
        <v>717.730496453901</v>
      </c>
    </row>
    <row r="16">
      <c r="A16" s="7" t="inlineStr">
        <is>
          <t xml:space="preserve">Monthly revenue target</t>
        </is>
      </c>
      <c r="B16" s="8">
        <f>IF(ISNUMBER(B10),B10/12,"Check inputs")</f>
        <v>7333.33333333333</v>
      </c>
    </row>
    <row r="17"/>
    <row r="18">
      <c r="A18" s="2" t="inlineStr">
        <is>
          <t xml:space="preserve">This is the free sample from the Freelancer Finance Kit: the full kit adds an invoice tracker with overdue days and quarterly tax set-aside, plus a project profitability sheet. Search 'Freelancer Finance Kit' on Gumroad (xparhyx).</t>
        </is>
      </c>
    </row>
    <row r="19">
      <c r="A19" s="2" t="inlineStr">
        <is>
          <t xml:space="preserve">Created with AI assistance (AI-generated content); formulas recalculated and checked in LibreOffice Calc. A planning tool, not financial or tax advice.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/>
</cp:coreProperties>
</file>